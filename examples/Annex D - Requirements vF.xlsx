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fostplus-my.sharepoint.com/personal/peter_feyen_fostplus_be/Documents/Documents/RFP IT Managed Services/"/>
    </mc:Choice>
  </mc:AlternateContent>
  <xr:revisionPtr revIDLastSave="60" documentId="8_{3EC1A17C-90B3-4095-9011-9DB67F1C5694}" xr6:coauthVersionLast="47" xr6:coauthVersionMax="47" xr10:uidLastSave="{454C4D26-AC8A-4AA9-8AAC-460297161CA8}"/>
  <bookViews>
    <workbookView xWindow="-108" yWindow="-108" windowWidth="23256" windowHeight="13896" tabRatio="500" xr2:uid="{00000000-000D-0000-FFFF-FFFF00000000}"/>
  </bookViews>
  <sheets>
    <sheet name="MOSCOW Requirements" sheetId="1" r:id="rId1"/>
    <sheet name="Summary" sheetId="2" r:id="rId2"/>
    <sheet name="Legend &amp; Instru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2" l="1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B8" i="2" l="1"/>
  <c r="D8" i="2"/>
  <c r="E8" i="2"/>
  <c r="C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tc={80182B04-5D28-494D-89AB-ACFC1EFCD575}</author>
  </authors>
  <commentList>
    <comment ref="A14" authorId="0" shapeId="0" xr:uid="{80182B04-5D28-494D-89AB-ACFC1EFCD57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Allemaal in ONS systeem uiteraard ☺️
Reply:
    Ah ja, ik zie dat het nu helemaal vanonder staat</t>
      </text>
    </comment>
  </commentList>
</comments>
</file>

<file path=xl/sharedStrings.xml><?xml version="1.0" encoding="utf-8"?>
<sst xmlns="http://schemas.openxmlformats.org/spreadsheetml/2006/main" count="324" uniqueCount="227">
  <si>
    <t>Req ID</t>
  </si>
  <si>
    <t>Requirement</t>
  </si>
  <si>
    <t>MoSCoW</t>
  </si>
  <si>
    <t>Supplier Response
(Comply / Partial / Non-Comply)</t>
  </si>
  <si>
    <t>Supplier Approach / Comments</t>
  </si>
  <si>
    <t>Reference to Proposal Section (optional)</t>
  </si>
  <si>
    <t>Service Delivery Model</t>
  </si>
  <si>
    <t>SDM-001</t>
  </si>
  <si>
    <t>Provide an on-site ServiceDesk team at the Fost Plus offices in Evere (Brussels)</t>
  </si>
  <si>
    <t>Must</t>
  </si>
  <si>
    <t>SDM-002</t>
  </si>
  <si>
    <t>On-site team of 3 to 4 full-time equivalents (FTE), present during business hours</t>
  </si>
  <si>
    <t>SDM-003</t>
  </si>
  <si>
    <t>Act as single point of contact (SPOC) for all IT support matters</t>
  </si>
  <si>
    <t>SDM-004</t>
  </si>
  <si>
    <t>Deliver first-line (L1) support for all end-user incidents and requests</t>
  </si>
  <si>
    <t>SDM-005</t>
  </si>
  <si>
    <t>Deliver second-line (L2) support where applicable</t>
  </si>
  <si>
    <t>SDM-006</t>
  </si>
  <si>
    <t>Coordinate escalation to third-party vendors and internal teams for L3 resolution</t>
  </si>
  <si>
    <t>SDM-007</t>
  </si>
  <si>
    <t>Deliver all services in Dutch, French and English (trilingual team)</t>
  </si>
  <si>
    <t>SDM-008</t>
  </si>
  <si>
    <t>Describe proposed team composition, roles and responsibilities</t>
  </si>
  <si>
    <t>SDM-009</t>
  </si>
  <si>
    <t>Describe backup arrangements and rotation policies to ensure continuity and knowledge retention</t>
  </si>
  <si>
    <t>Should</t>
  </si>
  <si>
    <t>SDM-010</t>
  </si>
  <si>
    <t>Provide named team lead / on-site coordinator responsible for day-to-day service management</t>
  </si>
  <si>
    <t>SDM-011</t>
  </si>
  <si>
    <t>Guarantee maximum staff turnover rate or minimum tenure commitment for on-site FTEs</t>
  </si>
  <si>
    <t>Could</t>
  </si>
  <si>
    <t>Incident Management</t>
  </si>
  <si>
    <t>IM-001</t>
  </si>
  <si>
    <t>Register, classify, prioritise and resolve incidents following ITIL-aligned processes</t>
  </si>
  <si>
    <t>IM-002</t>
  </si>
  <si>
    <t>Provide timely communication to affected users on incident status and progress</t>
  </si>
  <si>
    <t>IM-003</t>
  </si>
  <si>
    <t>Escalate to L2/L3 support teams or third-party vendors per defined escalation procedures</t>
  </si>
  <si>
    <t>IM-004</t>
  </si>
  <si>
    <t>Support priority-based incident classification (e.g. P1-Critical through P4-Low)</t>
  </si>
  <si>
    <t>IM-005</t>
  </si>
  <si>
    <t>Perform root cause analysis for recurring or major incidents</t>
  </si>
  <si>
    <t>IM-006</t>
  </si>
  <si>
    <t>Produce major incident reports (post-incident review) for P1/P2 incidents</t>
  </si>
  <si>
    <t>Service Request Fulfilment</t>
  </si>
  <si>
    <t>SRF-001</t>
  </si>
  <si>
    <t>Process standard service requests (access requests, software installations, account management)</t>
  </si>
  <si>
    <t>SRF-002</t>
  </si>
  <si>
    <t>Handle user onboarding IT provisioning (accounts, devices, access rights, orientation)</t>
  </si>
  <si>
    <t>SRF-003</t>
  </si>
  <si>
    <t>Handle user offboarding IT de-provisioning (account deactivation, device collection, access revocation)</t>
  </si>
  <si>
    <t>SRF-004</t>
  </si>
  <si>
    <t>Provide IMAC services (Install, Move, Add, Change) for end-user devices</t>
  </si>
  <si>
    <t>SRF-005</t>
  </si>
  <si>
    <t>Maintain and update a service catalogue of available standard requests</t>
  </si>
  <si>
    <t>End-User Support</t>
  </si>
  <si>
    <t>ES-001</t>
  </si>
  <si>
    <t>Support workstations (laptops), mobile devices, printers and peripherals</t>
  </si>
  <si>
    <t>ES-002</t>
  </si>
  <si>
    <t>Support Microsoft 365 suite and Microsoft Teams</t>
  </si>
  <si>
    <t>ES-003</t>
  </si>
  <si>
    <t>Support users across multiple departments (operations, CRM, finance, HR, data, technical)</t>
  </si>
  <si>
    <t>ES-004</t>
  </si>
  <si>
    <t>Provide walk-in and deskside support at the Fost Plus offices</t>
  </si>
  <si>
    <t>ES-005</t>
  </si>
  <si>
    <t>Provide remote support capabilities (remote desktop, screen sharing) in addition to on-site</t>
  </si>
  <si>
    <t>ES-006</t>
  </si>
  <si>
    <t>Offer self-service portal or knowledge base accessible to end users</t>
  </si>
  <si>
    <t>ES-007</t>
  </si>
  <si>
    <t>Support VPN and remote working technology for Fost Plus (internal/external) staff</t>
  </si>
  <si>
    <t>Operational IT Tasks</t>
  </si>
  <si>
    <t>OIT-001</t>
  </si>
  <si>
    <t>Execute scheduled and recurring tasks (patch management, system health checks, preventive maintenance)</t>
  </si>
  <si>
    <t>OIT-002</t>
  </si>
  <si>
    <t>Support asset and licence tracking</t>
  </si>
  <si>
    <t>OIT-003</t>
  </si>
  <si>
    <t>Maintain knowledge base and document procedures and known errors</t>
  </si>
  <si>
    <t>OIT-004</t>
  </si>
  <si>
    <t>Proactively identify and report ageing or end-of-life hardware and software</t>
  </si>
  <si>
    <t>OIT-005</t>
  </si>
  <si>
    <t>Maintain up-to-date CMDB or asset register entries for supported devices</t>
  </si>
  <si>
    <t>Vendor &amp; Escalation Coordination</t>
  </si>
  <si>
    <t>VEC-001</t>
  </si>
  <si>
    <t>Coordinate with third-party suppliers for L2/L3 escalation and follow-up</t>
  </si>
  <si>
    <t>VEC-002</t>
  </si>
  <si>
    <t>Track and follow up on tickets escalated to external parties until resolution</t>
  </si>
  <si>
    <t>VEC-003</t>
  </si>
  <si>
    <t>Maintain a vendor contact register with escalation paths and SLAs per vendor</t>
  </si>
  <si>
    <t>Service Hours &amp; Availability</t>
  </si>
  <si>
    <t>SHA-001</t>
  </si>
  <si>
    <t>Provide on-site coverage during standard business hours, Monday to Friday, excl. Belgian public holidays</t>
  </si>
  <si>
    <t>SHA-002</t>
  </si>
  <si>
    <t>Propose standard coverage window (e.g. 08u30 - 17u30)</t>
  </si>
  <si>
    <t>SHA-003</t>
  </si>
  <si>
    <t>Provide after-hours on-call or standby arrangement for critical/high-priority incidents (evenings, weekends, public holidays)</t>
  </si>
  <si>
    <t>SHA-004</t>
  </si>
  <si>
    <t>Define scope of after-hours support (e.g. critical incidents only) and target response times</t>
  </si>
  <si>
    <t>SHA-005</t>
  </si>
  <si>
    <t>Provide transparent pricing for after-hours support (included or optional)</t>
  </si>
  <si>
    <t>Escalation Framework</t>
  </si>
  <si>
    <t>EF-001</t>
  </si>
  <si>
    <t>Propose functional escalation tiers from L1 to L3 with defined roles and responsibilities</t>
  </si>
  <si>
    <t>EF-002</t>
  </si>
  <si>
    <t>Define time-based triggers for automatic escalation when SLA thresholds are at risk</t>
  </si>
  <si>
    <t>EF-003</t>
  </si>
  <si>
    <t>Provide management escalation path for issues not resolved within agreed timeframes or with significant business impact</t>
  </si>
  <si>
    <t>EF-004</t>
  </si>
  <si>
    <t>Define emergency escalation procedure for critical incidents (major outages, security incidents) including outside business hours</t>
  </si>
  <si>
    <t>EF-005</t>
  </si>
  <si>
    <t>Provide dedicated emergency contact details and maximum initial response times</t>
  </si>
  <si>
    <t>Tooling</t>
  </si>
  <si>
    <t>T-001</t>
  </si>
  <si>
    <t>Work within Fost Plus's existing Jira Service Management environment for ticketing and incident tracking</t>
  </si>
  <si>
    <t>T-002</t>
  </si>
  <si>
    <t>Demonstrate experience with Jira Service Management (or similar ITSM platforms)</t>
  </si>
  <si>
    <t>T-003</t>
  </si>
  <si>
    <t>If proposing alternative or complementary tooling, clearly describe and motivate the proposal</t>
  </si>
  <si>
    <t>T-004</t>
  </si>
  <si>
    <t>Provide remote support (remote desktop, screen sharing) for efficient issue resolution</t>
  </si>
  <si>
    <t>T-005</t>
  </si>
  <si>
    <t>Support configuration and integration with Microsoft 365 / Entra ID for identity and access management workflows</t>
  </si>
  <si>
    <t>Governance &amp; Reporting</t>
  </si>
  <si>
    <t>GR-001</t>
  </si>
  <si>
    <t>Participate in weekly operational review meetings (ticket status, priorities, blockers)</t>
  </si>
  <si>
    <t>GR-002</t>
  </si>
  <si>
    <t>Participate in monthly service review meetings (SLA performance, reporting, trends)</t>
  </si>
  <si>
    <t>GR-003</t>
  </si>
  <si>
    <t>Participate in quarterly/bi-annual strategic review meetings (improvements, roadmap, staffing)</t>
  </si>
  <si>
    <t>GR-004</t>
  </si>
  <si>
    <t>Participate in security coordination meetings as agreed</t>
  </si>
  <si>
    <t>GR-005</t>
  </si>
  <si>
    <t>Provide regular reports on ticket volumes, SLA adherence, first-call resolution rates, escalation rates</t>
  </si>
  <si>
    <t>GR-006</t>
  </si>
  <si>
    <t>Provide user satisfaction reporting</t>
  </si>
  <si>
    <t>GR-007</t>
  </si>
  <si>
    <t>Describe standard reporting capabilities and propose reporting cadence</t>
  </si>
  <si>
    <t>GR-008</t>
  </si>
  <si>
    <t>Demonstrate proactive continuous improvement approach (trend analysis, recurring issue identification, recommendations)</t>
  </si>
  <si>
    <t>GR-009</t>
  </si>
  <si>
    <t>Provide access to a real-time dashboard for Fost Plus IT management</t>
  </si>
  <si>
    <t>Service Levels (SLAs)</t>
  </si>
  <si>
    <t>SL-001</t>
  </si>
  <si>
    <t>Propose SLA targets for first response time by priority level</t>
  </si>
  <si>
    <t>SL-002</t>
  </si>
  <si>
    <t>Propose SLA targets for resolution time by priority level</t>
  </si>
  <si>
    <t>SL-003</t>
  </si>
  <si>
    <t>Propose target for first-call resolution rate</t>
  </si>
  <si>
    <t>SL-004</t>
  </si>
  <si>
    <t>Propose target for ServiceDesk availability</t>
  </si>
  <si>
    <t>SL-005</t>
  </si>
  <si>
    <t>Propose target for customer satisfaction score</t>
  </si>
  <si>
    <t>SL-006</t>
  </si>
  <si>
    <t>Include a service credit mechanism / penalty structure for SLA breaches</t>
  </si>
  <si>
    <t>SL-007</t>
  </si>
  <si>
    <t>Provide SLA measurement methodology and data sources</t>
  </si>
  <si>
    <t>Transition</t>
  </si>
  <si>
    <t>T-006</t>
  </si>
  <si>
    <t>Manage the full transition from the current external provider</t>
  </si>
  <si>
    <t>T-007</t>
  </si>
  <si>
    <t>Execute knowledge transfer and documentation from outgoing provider</t>
  </si>
  <si>
    <t>T-008</t>
  </si>
  <si>
    <t>Onboard and familiarise the new team with Fost Plus systems, processes and culture</t>
  </si>
  <si>
    <t>T-009</t>
  </si>
  <si>
    <t>Provide a transition plan with clear milestones and risk mitigation measures</t>
  </si>
  <si>
    <t>T-010</t>
  </si>
  <si>
    <t>Ensure continuity of service throughout the transition period (no service degradation)</t>
  </si>
  <si>
    <t>T-011</t>
  </si>
  <si>
    <t>Describe proposed transition approach and provide indicative timeline</t>
  </si>
  <si>
    <t>T-012</t>
  </si>
  <si>
    <t>Propose a parallel-run or shadow period before full handover</t>
  </si>
  <si>
    <t>T-013</t>
  </si>
  <si>
    <t>Assign a dedicated transition manager for the duration of the transition</t>
  </si>
  <si>
    <t>Language &amp; Cultural Fit</t>
  </si>
  <si>
    <t>LCF-001</t>
  </si>
  <si>
    <r>
      <t>All on-site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staff must be fluent in Dutch and French, with professional proficiency in English</t>
    </r>
  </si>
  <si>
    <t>LCF-002</t>
  </si>
  <si>
    <t>Demonstrate experience serving Belgian non-profit or public-sector organisations</t>
  </si>
  <si>
    <t>LCF-003</t>
  </si>
  <si>
    <t>Demonstrate experience serving organisations of comparable size (~60 users, ~10,000 tickets/year)</t>
  </si>
  <si>
    <t>LCF-004</t>
  </si>
  <si>
    <t>Willingness to serve a ~60-user non-profit organisation as a committed engagement (not a minor account)</t>
  </si>
  <si>
    <t>Security &amp; Compliance</t>
  </si>
  <si>
    <t>SC-001</t>
  </si>
  <si>
    <t>Comply with Fost Plus information security policies and data handling procedures</t>
  </si>
  <si>
    <t>SC-002</t>
  </si>
  <si>
    <t>Ensure GDPR compliance for all personal data handling within service delivery</t>
  </si>
  <si>
    <t>SC-003</t>
  </si>
  <si>
    <t>Provide evidence of relevant certifications (e.g. ISO 27001, ISO 9001, ITIL)</t>
  </si>
  <si>
    <t>SC-004</t>
  </si>
  <si>
    <t>Perform background checks on all on-site staff</t>
  </si>
  <si>
    <t>SC-005</t>
  </si>
  <si>
    <t>Support Fost Plus security incident response procedures</t>
  </si>
  <si>
    <t>Commercial &amp; Contractual</t>
  </si>
  <si>
    <t>CC-001</t>
  </si>
  <si>
    <t>Provide transparent pricing model (fixed, variable, or hybrid) for the proposed service</t>
  </si>
  <si>
    <t>CC-002</t>
  </si>
  <si>
    <t>Clearly separate pricing for standard service vs. optional services (e.g. after-hours, extended hours)</t>
  </si>
  <si>
    <t>CC-003</t>
  </si>
  <si>
    <t>Propose contract duration and renewal/termination terms</t>
  </si>
  <si>
    <t>CC-004</t>
  </si>
  <si>
    <t>Include provisions for annual price revision mechanism (linked to index or CPI)</t>
  </si>
  <si>
    <t>CC-005</t>
  </si>
  <si>
    <t>Provide at least two Belgian client references for comparable managed service desk engagements</t>
  </si>
  <si>
    <t>CC-006</t>
  </si>
  <si>
    <t>Demonstrate financial stability and organisational viability for multi-year engagement</t>
  </si>
  <si>
    <t>CC-007</t>
  </si>
  <si>
    <t>Describe exit/transition-out process and support at contract end</t>
  </si>
  <si>
    <t>MoSCoW Summary</t>
  </si>
  <si>
    <t>Priority</t>
  </si>
  <si>
    <t>Total</t>
  </si>
  <si>
    <t>Comply</t>
  </si>
  <si>
    <t>Partial</t>
  </si>
  <si>
    <t>Non-Comply</t>
  </si>
  <si>
    <t>Won't</t>
  </si>
  <si>
    <t>MoSCoW Legend</t>
  </si>
  <si>
    <t>Non-negotiable requirement. Must be addressed in the proposal. Failure to comply may result in disqualification.</t>
  </si>
  <si>
    <t>Important requirement. Expected in a strong proposal but some flexibility is possible with justification.</t>
  </si>
  <si>
    <t>Desirable requirement. Would strengthen the proposal and differentiate the supplier, but not mandatory.</t>
  </si>
  <si>
    <t>Out of scope for this RFP. Listed for clarity and future reference only.</t>
  </si>
  <si>
    <t>Instructions for Suppliers</t>
  </si>
  <si>
    <t>Supplier Response</t>
  </si>
  <si>
    <t>Select 'Comply' (full compliance), 'Partial' (partial compliance with explanation), or 'Non-Comply' (cannot meet this requirement).</t>
  </si>
  <si>
    <t>Comments</t>
  </si>
  <si>
    <t>Provide details on your approach, any deviations, assumptions, or added value. Mandatory for 'Partial' and 'Non-Comply' responses.</t>
  </si>
  <si>
    <t>Proposal Reference 
(optional)</t>
  </si>
  <si>
    <t>Indicate the section/page in your proposal document where this requirement is addressed in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</si>
</sst>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1F4E79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CE4EC"/>
        <bgColor rgb="FFFFF3E0"/>
      </patternFill>
    </fill>
    <fill>
      <patternFill patternType="solid">
        <fgColor rgb="FFFFF3E0"/>
        <bgColor rgb="FFF5F5F5"/>
      </patternFill>
    </fill>
    <fill>
      <patternFill patternType="solid">
        <fgColor rgb="FFE8F5E9"/>
        <bgColor rgb="FFF5F5F5"/>
      </patternFill>
    </fill>
    <fill>
      <patternFill patternType="solid">
        <fgColor rgb="FFF5F5F5"/>
        <bgColor rgb="FFE8F5E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3" fillId="0" borderId="1" xfId="0" applyFont="1" applyBorder="1" applyAlignment="1">
      <alignment horizontal="center"/>
    </xf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4" borderId="0" xfId="0" applyFont="1" applyFill="1"/>
    <xf numFmtId="0" fontId="3" fillId="0" borderId="0" xfId="0" applyFont="1" applyAlignment="1">
      <alignment vertical="top" wrapText="1"/>
    </xf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0" borderId="0" xfId="0" applyFont="1"/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E0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anna Cloet" id="{790D36C8-FB2A-467E-AE30-FD4CA6DB0697}" userId="S::shanna.cloet@fostplus.be::0e722e49-7718-4967-ac41-33df1e6540f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4" dT="2026-02-26T14:27:03.59" personId="{790D36C8-FB2A-467E-AE30-FD4CA6DB0697}" id="{80182B04-5D28-494D-89AB-ACFC1EFCD575}" done="1">
    <text>Allemaal in ONS systeem uiteraard ☺️</text>
  </threadedComment>
  <threadedComment ref="A14" dT="2026-02-26T15:43:34.89" personId="{790D36C8-FB2A-467E-AE30-FD4CA6DB0697}" id="{5693A5E1-EB8D-4D6D-BFE7-4F771646AE6D}" parentId="{80182B04-5D28-494D-89AB-ACFC1EFCD575}">
    <text>Ah ja, ik zie dat het nu helemaal vanonder staat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17471F-A5AF-49CD-98DF-7FB04501515F}">
  <we:reference id="29673e3c-d826-4f00-92ee-162334a52b1a" version="1.0.0.8" store="EXCatalog" storeType="EXCatalog"/>
  <we:alternateReferences>
    <we:reference id="WA200009404" version="1.0.0.8" store="nl-BE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zoomScale="115" zoomScaleNormal="115" workbookViewId="0">
      <pane ySplit="1" topLeftCell="A2" activePane="bottomLeft" state="frozen"/>
      <selection pane="bottomLeft" activeCell="E10" sqref="E10"/>
    </sheetView>
  </sheetViews>
  <sheetFormatPr defaultColWidth="8.6640625" defaultRowHeight="14.4" x14ac:dyDescent="0.3"/>
  <cols>
    <col min="1" max="1" width="15.109375" customWidth="1"/>
    <col min="2" max="2" width="76.44140625" customWidth="1"/>
    <col min="3" max="3" width="10" customWidth="1"/>
    <col min="4" max="4" width="18" customWidth="1"/>
    <col min="5" max="5" width="50" customWidth="1"/>
    <col min="6" max="6" width="22" customWidth="1"/>
  </cols>
  <sheetData>
    <row r="1" spans="1:6" ht="39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.5" customHeight="1" x14ac:dyDescent="0.3">
      <c r="A2" s="24" t="s">
        <v>6</v>
      </c>
      <c r="B2" s="24"/>
      <c r="C2" s="24"/>
      <c r="D2" s="24"/>
      <c r="E2" s="24"/>
      <c r="F2" s="24"/>
    </row>
    <row r="3" spans="1:6" x14ac:dyDescent="0.3">
      <c r="A3" s="2" t="s">
        <v>7</v>
      </c>
      <c r="B3" s="3" t="s">
        <v>8</v>
      </c>
      <c r="C3" s="4" t="s">
        <v>9</v>
      </c>
      <c r="D3" s="3"/>
      <c r="E3" s="3"/>
      <c r="F3" s="3"/>
    </row>
    <row r="4" spans="1:6" x14ac:dyDescent="0.3">
      <c r="A4" s="2" t="s">
        <v>10</v>
      </c>
      <c r="B4" s="22" t="s">
        <v>11</v>
      </c>
      <c r="C4" s="4" t="s">
        <v>9</v>
      </c>
      <c r="D4" s="3"/>
      <c r="E4" s="3"/>
      <c r="F4" s="3"/>
    </row>
    <row r="5" spans="1:6" x14ac:dyDescent="0.3">
      <c r="A5" s="2" t="s">
        <v>12</v>
      </c>
      <c r="B5" s="3" t="s">
        <v>13</v>
      </c>
      <c r="C5" s="4" t="s">
        <v>9</v>
      </c>
      <c r="D5" s="3"/>
      <c r="E5" s="3"/>
      <c r="F5" s="3"/>
    </row>
    <row r="6" spans="1:6" x14ac:dyDescent="0.3">
      <c r="A6" s="2" t="s">
        <v>14</v>
      </c>
      <c r="B6" s="3" t="s">
        <v>15</v>
      </c>
      <c r="C6" s="4" t="s">
        <v>9</v>
      </c>
      <c r="D6" s="3"/>
      <c r="E6" s="3"/>
      <c r="F6" s="3"/>
    </row>
    <row r="7" spans="1:6" x14ac:dyDescent="0.3">
      <c r="A7" s="2" t="s">
        <v>16</v>
      </c>
      <c r="B7" s="3" t="s">
        <v>17</v>
      </c>
      <c r="C7" s="4" t="s">
        <v>9</v>
      </c>
      <c r="D7" s="3"/>
      <c r="E7" s="3"/>
      <c r="F7" s="3"/>
    </row>
    <row r="8" spans="1:6" x14ac:dyDescent="0.3">
      <c r="A8" s="2" t="s">
        <v>18</v>
      </c>
      <c r="B8" s="3" t="s">
        <v>19</v>
      </c>
      <c r="C8" s="4" t="s">
        <v>9</v>
      </c>
      <c r="D8" s="3"/>
      <c r="E8" s="3"/>
      <c r="F8" s="3"/>
    </row>
    <row r="9" spans="1:6" x14ac:dyDescent="0.3">
      <c r="A9" s="2" t="s">
        <v>20</v>
      </c>
      <c r="B9" s="3" t="s">
        <v>21</v>
      </c>
      <c r="C9" s="4" t="s">
        <v>9</v>
      </c>
      <c r="D9" s="3"/>
      <c r="E9" s="3"/>
      <c r="F9" s="3"/>
    </row>
    <row r="10" spans="1:6" x14ac:dyDescent="0.3">
      <c r="A10" s="2" t="s">
        <v>22</v>
      </c>
      <c r="B10" s="3" t="s">
        <v>23</v>
      </c>
      <c r="C10" s="4" t="s">
        <v>9</v>
      </c>
      <c r="D10" s="3"/>
      <c r="E10" s="3"/>
      <c r="F10" s="3"/>
    </row>
    <row r="11" spans="1:6" ht="26.4" x14ac:dyDescent="0.3">
      <c r="A11" s="2" t="s">
        <v>24</v>
      </c>
      <c r="B11" s="3" t="s">
        <v>25</v>
      </c>
      <c r="C11" s="5" t="s">
        <v>26</v>
      </c>
      <c r="D11" s="3"/>
      <c r="E11" s="3"/>
      <c r="F11" s="3"/>
    </row>
    <row r="12" spans="1:6" ht="26.4" x14ac:dyDescent="0.3">
      <c r="A12" s="2" t="s">
        <v>27</v>
      </c>
      <c r="B12" s="3" t="s">
        <v>28</v>
      </c>
      <c r="C12" s="5" t="s">
        <v>26</v>
      </c>
      <c r="D12" s="3"/>
      <c r="E12" s="3"/>
      <c r="F12" s="3"/>
    </row>
    <row r="13" spans="1:6" x14ac:dyDescent="0.3">
      <c r="A13" s="2" t="s">
        <v>29</v>
      </c>
      <c r="B13" s="3" t="s">
        <v>30</v>
      </c>
      <c r="C13" s="6" t="s">
        <v>31</v>
      </c>
      <c r="D13" s="3"/>
      <c r="E13" s="3"/>
      <c r="F13" s="3"/>
    </row>
    <row r="14" spans="1:6" ht="25.5" customHeight="1" x14ac:dyDescent="0.3">
      <c r="A14" s="24" t="s">
        <v>32</v>
      </c>
      <c r="B14" s="24"/>
      <c r="C14" s="24"/>
      <c r="D14" s="24"/>
      <c r="E14" s="24"/>
      <c r="F14" s="24"/>
    </row>
    <row r="15" spans="1:6" x14ac:dyDescent="0.3">
      <c r="A15" s="2" t="s">
        <v>33</v>
      </c>
      <c r="B15" s="3" t="s">
        <v>34</v>
      </c>
      <c r="C15" s="4" t="s">
        <v>9</v>
      </c>
      <c r="D15" s="3"/>
      <c r="E15" s="3"/>
      <c r="F15" s="3"/>
    </row>
    <row r="16" spans="1:6" x14ac:dyDescent="0.3">
      <c r="A16" s="2" t="s">
        <v>35</v>
      </c>
      <c r="B16" s="3" t="s">
        <v>36</v>
      </c>
      <c r="C16" s="4" t="s">
        <v>9</v>
      </c>
      <c r="D16" s="3"/>
      <c r="E16" s="3"/>
      <c r="F16" s="3"/>
    </row>
    <row r="17" spans="1:6" x14ac:dyDescent="0.3">
      <c r="A17" s="2" t="s">
        <v>37</v>
      </c>
      <c r="B17" s="3" t="s">
        <v>38</v>
      </c>
      <c r="C17" s="4" t="s">
        <v>9</v>
      </c>
      <c r="D17" s="3"/>
      <c r="E17" s="3"/>
      <c r="F17" s="3"/>
    </row>
    <row r="18" spans="1:6" x14ac:dyDescent="0.3">
      <c r="A18" s="2" t="s">
        <v>39</v>
      </c>
      <c r="B18" s="3" t="s">
        <v>40</v>
      </c>
      <c r="C18" s="4" t="s">
        <v>9</v>
      </c>
      <c r="D18" s="3"/>
      <c r="E18" s="3"/>
      <c r="F18" s="3"/>
    </row>
    <row r="19" spans="1:6" x14ac:dyDescent="0.3">
      <c r="A19" s="2" t="s">
        <v>41</v>
      </c>
      <c r="B19" s="3" t="s">
        <v>42</v>
      </c>
      <c r="C19" s="4" t="s">
        <v>9</v>
      </c>
      <c r="D19" s="3"/>
      <c r="E19" s="3"/>
      <c r="F19" s="3"/>
    </row>
    <row r="20" spans="1:6" x14ac:dyDescent="0.3">
      <c r="A20" s="2" t="s">
        <v>43</v>
      </c>
      <c r="B20" s="3" t="s">
        <v>44</v>
      </c>
      <c r="C20" s="4" t="s">
        <v>9</v>
      </c>
      <c r="D20" s="3"/>
      <c r="E20" s="3"/>
      <c r="F20" s="3"/>
    </row>
    <row r="21" spans="1:6" ht="25.5" customHeight="1" x14ac:dyDescent="0.3">
      <c r="A21" s="24" t="s">
        <v>45</v>
      </c>
      <c r="B21" s="24"/>
      <c r="C21" s="24"/>
      <c r="D21" s="24"/>
      <c r="E21" s="24"/>
      <c r="F21" s="24"/>
    </row>
    <row r="22" spans="1:6" ht="26.4" x14ac:dyDescent="0.3">
      <c r="A22" s="2" t="s">
        <v>46</v>
      </c>
      <c r="B22" s="3" t="s">
        <v>47</v>
      </c>
      <c r="C22" s="4" t="s">
        <v>9</v>
      </c>
      <c r="D22" s="3"/>
      <c r="E22" s="3"/>
      <c r="F22" s="3"/>
    </row>
    <row r="23" spans="1:6" x14ac:dyDescent="0.3">
      <c r="A23" s="2" t="s">
        <v>48</v>
      </c>
      <c r="B23" s="3" t="s">
        <v>49</v>
      </c>
      <c r="C23" s="4" t="s">
        <v>9</v>
      </c>
      <c r="D23" s="3"/>
      <c r="E23" s="3"/>
      <c r="F23" s="3"/>
    </row>
    <row r="24" spans="1:6" ht="26.4" x14ac:dyDescent="0.3">
      <c r="A24" s="2" t="s">
        <v>50</v>
      </c>
      <c r="B24" s="3" t="s">
        <v>51</v>
      </c>
      <c r="C24" s="4" t="s">
        <v>9</v>
      </c>
      <c r="D24" s="3"/>
      <c r="E24" s="3"/>
      <c r="F24" s="3"/>
    </row>
    <row r="25" spans="1:6" x14ac:dyDescent="0.3">
      <c r="A25" s="2" t="s">
        <v>52</v>
      </c>
      <c r="B25" s="3" t="s">
        <v>53</v>
      </c>
      <c r="C25" s="4" t="s">
        <v>9</v>
      </c>
      <c r="D25" s="3"/>
      <c r="E25" s="3"/>
      <c r="F25" s="3"/>
    </row>
    <row r="26" spans="1:6" x14ac:dyDescent="0.3">
      <c r="A26" s="2" t="s">
        <v>54</v>
      </c>
      <c r="B26" s="3" t="s">
        <v>55</v>
      </c>
      <c r="C26" s="5" t="s">
        <v>26</v>
      </c>
      <c r="D26" s="3"/>
      <c r="E26" s="3"/>
      <c r="F26" s="3"/>
    </row>
    <row r="27" spans="1:6" ht="25.5" customHeight="1" x14ac:dyDescent="0.3">
      <c r="A27" s="24" t="s">
        <v>56</v>
      </c>
      <c r="B27" s="24"/>
      <c r="C27" s="24"/>
      <c r="D27" s="24"/>
      <c r="E27" s="24"/>
      <c r="F27" s="24"/>
    </row>
    <row r="28" spans="1:6" x14ac:dyDescent="0.3">
      <c r="A28" s="2" t="s">
        <v>57</v>
      </c>
      <c r="B28" s="3" t="s">
        <v>58</v>
      </c>
      <c r="C28" s="4" t="s">
        <v>9</v>
      </c>
      <c r="D28" s="3"/>
      <c r="E28" s="3"/>
      <c r="F28" s="3"/>
    </row>
    <row r="29" spans="1:6" x14ac:dyDescent="0.3">
      <c r="A29" s="2" t="s">
        <v>59</v>
      </c>
      <c r="B29" s="3" t="s">
        <v>60</v>
      </c>
      <c r="C29" s="4" t="s">
        <v>9</v>
      </c>
      <c r="D29" s="3"/>
      <c r="E29" s="3"/>
      <c r="F29" s="3"/>
    </row>
    <row r="30" spans="1:6" x14ac:dyDescent="0.3">
      <c r="A30" s="2" t="s">
        <v>61</v>
      </c>
      <c r="B30" s="21" t="s">
        <v>62</v>
      </c>
      <c r="C30" s="4" t="s">
        <v>9</v>
      </c>
      <c r="D30" s="3"/>
      <c r="E30" s="3"/>
      <c r="F30" s="3"/>
    </row>
    <row r="31" spans="1:6" x14ac:dyDescent="0.3">
      <c r="A31" s="2" t="s">
        <v>63</v>
      </c>
      <c r="B31" s="3" t="s">
        <v>64</v>
      </c>
      <c r="C31" s="4" t="s">
        <v>9</v>
      </c>
      <c r="D31" s="3"/>
      <c r="E31" s="3"/>
      <c r="F31" s="3"/>
    </row>
    <row r="32" spans="1:6" x14ac:dyDescent="0.3">
      <c r="A32" s="2" t="s">
        <v>65</v>
      </c>
      <c r="B32" s="3" t="s">
        <v>66</v>
      </c>
      <c r="C32" s="5" t="s">
        <v>26</v>
      </c>
      <c r="D32" s="3"/>
      <c r="E32" s="3"/>
      <c r="F32" s="3"/>
    </row>
    <row r="33" spans="1:6" x14ac:dyDescent="0.3">
      <c r="A33" s="2" t="s">
        <v>67</v>
      </c>
      <c r="B33" s="3" t="s">
        <v>68</v>
      </c>
      <c r="C33" s="6" t="s">
        <v>31</v>
      </c>
      <c r="D33" s="3"/>
      <c r="E33" s="3"/>
      <c r="F33" s="3"/>
    </row>
    <row r="34" spans="1:6" x14ac:dyDescent="0.3">
      <c r="A34" s="2" t="s">
        <v>69</v>
      </c>
      <c r="B34" s="3" t="s">
        <v>70</v>
      </c>
      <c r="C34" s="5" t="s">
        <v>26</v>
      </c>
      <c r="D34" s="3"/>
      <c r="E34" s="3"/>
      <c r="F34" s="3"/>
    </row>
    <row r="35" spans="1:6" ht="25.5" customHeight="1" x14ac:dyDescent="0.3">
      <c r="A35" s="24" t="s">
        <v>71</v>
      </c>
      <c r="B35" s="24"/>
      <c r="C35" s="24"/>
      <c r="D35" s="24"/>
      <c r="E35" s="24"/>
      <c r="F35" s="24"/>
    </row>
    <row r="36" spans="1:6" ht="26.4" x14ac:dyDescent="0.3">
      <c r="A36" s="2" t="s">
        <v>72</v>
      </c>
      <c r="B36" s="3" t="s">
        <v>73</v>
      </c>
      <c r="C36" s="4" t="s">
        <v>9</v>
      </c>
      <c r="D36" s="3"/>
      <c r="E36" s="3"/>
      <c r="F36" s="3"/>
    </row>
    <row r="37" spans="1:6" x14ac:dyDescent="0.3">
      <c r="A37" s="2" t="s">
        <v>74</v>
      </c>
      <c r="B37" s="3" t="s">
        <v>75</v>
      </c>
      <c r="C37" s="4" t="s">
        <v>9</v>
      </c>
      <c r="D37" s="3"/>
      <c r="E37" s="3"/>
      <c r="F37" s="3"/>
    </row>
    <row r="38" spans="1:6" x14ac:dyDescent="0.3">
      <c r="A38" s="2" t="s">
        <v>76</v>
      </c>
      <c r="B38" s="3" t="s">
        <v>77</v>
      </c>
      <c r="C38" s="4" t="s">
        <v>9</v>
      </c>
      <c r="D38" s="3"/>
      <c r="E38" s="3"/>
      <c r="F38" s="3"/>
    </row>
    <row r="39" spans="1:6" x14ac:dyDescent="0.3">
      <c r="A39" s="2" t="s">
        <v>78</v>
      </c>
      <c r="B39" s="3" t="s">
        <v>79</v>
      </c>
      <c r="C39" s="4" t="s">
        <v>9</v>
      </c>
      <c r="D39" s="3"/>
      <c r="E39" s="3"/>
      <c r="F39" s="3"/>
    </row>
    <row r="40" spans="1:6" x14ac:dyDescent="0.3">
      <c r="A40" s="2" t="s">
        <v>80</v>
      </c>
      <c r="B40" s="3" t="s">
        <v>81</v>
      </c>
      <c r="C40" s="4" t="s">
        <v>9</v>
      </c>
      <c r="D40" s="3"/>
      <c r="E40" s="3"/>
      <c r="F40" s="3"/>
    </row>
    <row r="41" spans="1:6" ht="25.5" customHeight="1" x14ac:dyDescent="0.3">
      <c r="A41" s="24" t="s">
        <v>82</v>
      </c>
      <c r="B41" s="24"/>
      <c r="C41" s="24"/>
      <c r="D41" s="24"/>
      <c r="E41" s="24"/>
      <c r="F41" s="24"/>
    </row>
    <row r="42" spans="1:6" x14ac:dyDescent="0.3">
      <c r="A42" s="2" t="s">
        <v>83</v>
      </c>
      <c r="B42" s="3" t="s">
        <v>84</v>
      </c>
      <c r="C42" s="4" t="s">
        <v>9</v>
      </c>
      <c r="D42" s="3"/>
      <c r="E42" s="3"/>
      <c r="F42" s="3"/>
    </row>
    <row r="43" spans="1:6" x14ac:dyDescent="0.3">
      <c r="A43" s="2" t="s">
        <v>85</v>
      </c>
      <c r="B43" s="3" t="s">
        <v>86</v>
      </c>
      <c r="C43" s="4" t="s">
        <v>9</v>
      </c>
      <c r="D43" s="3"/>
      <c r="E43" s="3"/>
      <c r="F43" s="3"/>
    </row>
    <row r="44" spans="1:6" x14ac:dyDescent="0.3">
      <c r="A44" s="2" t="s">
        <v>87</v>
      </c>
      <c r="B44" s="3" t="s">
        <v>88</v>
      </c>
      <c r="C44" s="5" t="s">
        <v>26</v>
      </c>
      <c r="D44" s="3"/>
      <c r="E44" s="3"/>
      <c r="F44" s="3"/>
    </row>
    <row r="45" spans="1:6" ht="25.5" customHeight="1" x14ac:dyDescent="0.3">
      <c r="A45" s="24" t="s">
        <v>89</v>
      </c>
      <c r="B45" s="24"/>
      <c r="C45" s="24"/>
      <c r="D45" s="24"/>
      <c r="E45" s="24"/>
      <c r="F45" s="24"/>
    </row>
    <row r="46" spans="1:6" ht="26.4" x14ac:dyDescent="0.3">
      <c r="A46" s="2" t="s">
        <v>90</v>
      </c>
      <c r="B46" s="22" t="s">
        <v>91</v>
      </c>
      <c r="C46" s="4" t="s">
        <v>9</v>
      </c>
      <c r="D46" s="3"/>
      <c r="E46" s="3"/>
      <c r="F46" s="3"/>
    </row>
    <row r="47" spans="1:6" x14ac:dyDescent="0.3">
      <c r="A47" s="2" t="s">
        <v>92</v>
      </c>
      <c r="B47" s="22" t="s">
        <v>93</v>
      </c>
      <c r="C47" s="4" t="s">
        <v>9</v>
      </c>
      <c r="D47" s="3"/>
      <c r="E47" s="3"/>
      <c r="F47" s="3"/>
    </row>
    <row r="48" spans="1:6" ht="26.4" x14ac:dyDescent="0.3">
      <c r="A48" s="2" t="s">
        <v>94</v>
      </c>
      <c r="B48" s="22" t="s">
        <v>95</v>
      </c>
      <c r="C48" s="4" t="s">
        <v>9</v>
      </c>
      <c r="D48" s="3"/>
      <c r="E48" s="3"/>
      <c r="F48" s="3"/>
    </row>
    <row r="49" spans="1:6" x14ac:dyDescent="0.3">
      <c r="A49" s="2" t="s">
        <v>96</v>
      </c>
      <c r="B49" s="22" t="s">
        <v>97</v>
      </c>
      <c r="C49" s="4" t="s">
        <v>9</v>
      </c>
      <c r="D49" s="3"/>
      <c r="E49" s="3"/>
      <c r="F49" s="3"/>
    </row>
    <row r="50" spans="1:6" x14ac:dyDescent="0.3">
      <c r="A50" s="2" t="s">
        <v>98</v>
      </c>
      <c r="B50" s="22" t="s">
        <v>99</v>
      </c>
      <c r="C50" s="4" t="s">
        <v>9</v>
      </c>
      <c r="D50" s="3"/>
      <c r="E50" s="3"/>
      <c r="F50" s="3"/>
    </row>
    <row r="51" spans="1:6" ht="25.5" customHeight="1" x14ac:dyDescent="0.3">
      <c r="A51" s="24" t="s">
        <v>100</v>
      </c>
      <c r="B51" s="24"/>
      <c r="C51" s="24"/>
      <c r="D51" s="24"/>
      <c r="E51" s="24"/>
      <c r="F51" s="24"/>
    </row>
    <row r="52" spans="1:6" x14ac:dyDescent="0.3">
      <c r="A52" s="2" t="s">
        <v>101</v>
      </c>
      <c r="B52" s="3" t="s">
        <v>102</v>
      </c>
      <c r="C52" s="4" t="s">
        <v>9</v>
      </c>
      <c r="D52" s="3"/>
      <c r="E52" s="3"/>
      <c r="F52" s="3"/>
    </row>
    <row r="53" spans="1:6" x14ac:dyDescent="0.3">
      <c r="A53" s="2" t="s">
        <v>103</v>
      </c>
      <c r="B53" s="3" t="s">
        <v>104</v>
      </c>
      <c r="C53" s="4" t="s">
        <v>9</v>
      </c>
      <c r="D53" s="3"/>
      <c r="E53" s="3"/>
      <c r="F53" s="3"/>
    </row>
    <row r="54" spans="1:6" ht="26.4" x14ac:dyDescent="0.3">
      <c r="A54" s="2" t="s">
        <v>105</v>
      </c>
      <c r="B54" s="3" t="s">
        <v>106</v>
      </c>
      <c r="C54" s="4" t="s">
        <v>9</v>
      </c>
      <c r="D54" s="3"/>
      <c r="E54" s="3"/>
      <c r="F54" s="3"/>
    </row>
    <row r="55" spans="1:6" ht="26.4" x14ac:dyDescent="0.3">
      <c r="A55" s="2" t="s">
        <v>107</v>
      </c>
      <c r="B55" s="3" t="s">
        <v>108</v>
      </c>
      <c r="C55" s="4" t="s">
        <v>9</v>
      </c>
      <c r="D55" s="3"/>
      <c r="E55" s="3"/>
      <c r="F55" s="3"/>
    </row>
    <row r="56" spans="1:6" x14ac:dyDescent="0.3">
      <c r="A56" s="2" t="s">
        <v>109</v>
      </c>
      <c r="B56" s="3" t="s">
        <v>110</v>
      </c>
      <c r="C56" s="4" t="s">
        <v>9</v>
      </c>
      <c r="D56" s="3"/>
      <c r="E56" s="3"/>
      <c r="F56" s="3"/>
    </row>
    <row r="57" spans="1:6" ht="25.5" customHeight="1" x14ac:dyDescent="0.3">
      <c r="A57" s="24" t="s">
        <v>111</v>
      </c>
      <c r="B57" s="24"/>
      <c r="C57" s="24"/>
      <c r="D57" s="24"/>
      <c r="E57" s="24"/>
      <c r="F57" s="24"/>
    </row>
    <row r="58" spans="1:6" ht="26.4" x14ac:dyDescent="0.3">
      <c r="A58" s="2" t="s">
        <v>112</v>
      </c>
      <c r="B58" s="3" t="s">
        <v>113</v>
      </c>
      <c r="C58" s="4" t="s">
        <v>9</v>
      </c>
      <c r="D58" s="3"/>
      <c r="E58" s="3"/>
      <c r="F58" s="3"/>
    </row>
    <row r="59" spans="1:6" x14ac:dyDescent="0.3">
      <c r="A59" s="2" t="s">
        <v>114</v>
      </c>
      <c r="B59" s="3" t="s">
        <v>115</v>
      </c>
      <c r="C59" s="4" t="s">
        <v>9</v>
      </c>
      <c r="D59" s="3"/>
      <c r="E59" s="3"/>
      <c r="F59" s="3"/>
    </row>
    <row r="60" spans="1:6" ht="26.4" x14ac:dyDescent="0.3">
      <c r="A60" s="2" t="s">
        <v>116</v>
      </c>
      <c r="B60" s="3" t="s">
        <v>117</v>
      </c>
      <c r="C60" s="5" t="s">
        <v>26</v>
      </c>
      <c r="D60" s="3"/>
      <c r="E60" s="3"/>
      <c r="F60" s="3"/>
    </row>
    <row r="61" spans="1:6" x14ac:dyDescent="0.3">
      <c r="A61" s="2" t="s">
        <v>118</v>
      </c>
      <c r="B61" s="3" t="s">
        <v>119</v>
      </c>
      <c r="C61" s="5" t="s">
        <v>26</v>
      </c>
      <c r="D61" s="3"/>
      <c r="E61" s="3"/>
      <c r="F61" s="3"/>
    </row>
    <row r="62" spans="1:6" ht="26.4" x14ac:dyDescent="0.3">
      <c r="A62" s="2" t="s">
        <v>120</v>
      </c>
      <c r="B62" s="3" t="s">
        <v>121</v>
      </c>
      <c r="C62" s="4" t="s">
        <v>9</v>
      </c>
      <c r="D62" s="3"/>
      <c r="E62" s="3"/>
      <c r="F62" s="3"/>
    </row>
    <row r="63" spans="1:6" ht="25.5" customHeight="1" x14ac:dyDescent="0.3">
      <c r="A63" s="24" t="s">
        <v>122</v>
      </c>
      <c r="B63" s="24"/>
      <c r="C63" s="24"/>
      <c r="D63" s="24"/>
      <c r="E63" s="24"/>
      <c r="F63" s="24"/>
    </row>
    <row r="64" spans="1:6" x14ac:dyDescent="0.3">
      <c r="A64" s="2" t="s">
        <v>123</v>
      </c>
      <c r="B64" s="3" t="s">
        <v>124</v>
      </c>
      <c r="C64" s="4" t="s">
        <v>9</v>
      </c>
      <c r="D64" s="3"/>
      <c r="E64" s="3"/>
      <c r="F64" s="3"/>
    </row>
    <row r="65" spans="1:6" x14ac:dyDescent="0.3">
      <c r="A65" s="2" t="s">
        <v>125</v>
      </c>
      <c r="B65" s="3" t="s">
        <v>126</v>
      </c>
      <c r="C65" s="4" t="s">
        <v>9</v>
      </c>
      <c r="D65" s="3"/>
      <c r="E65" s="3"/>
      <c r="F65" s="3"/>
    </row>
    <row r="66" spans="1:6" ht="26.4" x14ac:dyDescent="0.3">
      <c r="A66" s="2" t="s">
        <v>127</v>
      </c>
      <c r="B66" s="3" t="s">
        <v>128</v>
      </c>
      <c r="C66" s="4" t="s">
        <v>9</v>
      </c>
      <c r="D66" s="3"/>
      <c r="E66" s="3"/>
      <c r="F66" s="3"/>
    </row>
    <row r="67" spans="1:6" x14ac:dyDescent="0.3">
      <c r="A67" s="2" t="s">
        <v>129</v>
      </c>
      <c r="B67" s="3" t="s">
        <v>130</v>
      </c>
      <c r="C67" s="4" t="s">
        <v>9</v>
      </c>
      <c r="D67" s="3"/>
      <c r="E67" s="3"/>
      <c r="F67" s="3"/>
    </row>
    <row r="68" spans="1:6" ht="26.4" x14ac:dyDescent="0.3">
      <c r="A68" s="2" t="s">
        <v>131</v>
      </c>
      <c r="B68" s="3" t="s">
        <v>132</v>
      </c>
      <c r="C68" s="4" t="s">
        <v>9</v>
      </c>
      <c r="D68" s="3"/>
      <c r="E68" s="3"/>
      <c r="F68" s="3"/>
    </row>
    <row r="69" spans="1:6" x14ac:dyDescent="0.3">
      <c r="A69" s="2" t="s">
        <v>133</v>
      </c>
      <c r="B69" s="3" t="s">
        <v>134</v>
      </c>
      <c r="C69" s="5" t="s">
        <v>26</v>
      </c>
      <c r="D69" s="3"/>
      <c r="E69" s="3"/>
      <c r="F69" s="3"/>
    </row>
    <row r="70" spans="1:6" x14ac:dyDescent="0.3">
      <c r="A70" s="2" t="s">
        <v>135</v>
      </c>
      <c r="B70" s="3" t="s">
        <v>136</v>
      </c>
      <c r="C70" s="4" t="s">
        <v>9</v>
      </c>
      <c r="D70" s="3"/>
      <c r="E70" s="3"/>
      <c r="F70" s="3"/>
    </row>
    <row r="71" spans="1:6" ht="26.4" x14ac:dyDescent="0.3">
      <c r="A71" s="2" t="s">
        <v>137</v>
      </c>
      <c r="B71" s="3" t="s">
        <v>138</v>
      </c>
      <c r="C71" s="5" t="s">
        <v>26</v>
      </c>
      <c r="D71" s="3"/>
      <c r="E71" s="3"/>
      <c r="F71" s="3"/>
    </row>
    <row r="72" spans="1:6" x14ac:dyDescent="0.3">
      <c r="A72" s="2" t="s">
        <v>139</v>
      </c>
      <c r="B72" s="3" t="s">
        <v>140</v>
      </c>
      <c r="C72" s="6" t="s">
        <v>31</v>
      </c>
      <c r="D72" s="3"/>
      <c r="E72" s="3"/>
      <c r="F72" s="3"/>
    </row>
    <row r="73" spans="1:6" ht="25.5" customHeight="1" x14ac:dyDescent="0.3">
      <c r="A73" s="24" t="s">
        <v>141</v>
      </c>
      <c r="B73" s="24"/>
      <c r="C73" s="24"/>
      <c r="D73" s="24"/>
      <c r="E73" s="24"/>
      <c r="F73" s="24"/>
    </row>
    <row r="74" spans="1:6" x14ac:dyDescent="0.3">
      <c r="A74" s="2" t="s">
        <v>142</v>
      </c>
      <c r="B74" s="3" t="s">
        <v>143</v>
      </c>
      <c r="C74" s="4" t="s">
        <v>9</v>
      </c>
      <c r="D74" s="3"/>
      <c r="E74" s="3"/>
      <c r="F74" s="3"/>
    </row>
    <row r="75" spans="1:6" x14ac:dyDescent="0.3">
      <c r="A75" s="2" t="s">
        <v>144</v>
      </c>
      <c r="B75" s="3" t="s">
        <v>145</v>
      </c>
      <c r="C75" s="4" t="s">
        <v>9</v>
      </c>
      <c r="D75" s="3"/>
      <c r="E75" s="3"/>
      <c r="F75" s="3"/>
    </row>
    <row r="76" spans="1:6" x14ac:dyDescent="0.3">
      <c r="A76" s="2" t="s">
        <v>146</v>
      </c>
      <c r="B76" s="3" t="s">
        <v>147</v>
      </c>
      <c r="C76" s="4" t="s">
        <v>9</v>
      </c>
      <c r="D76" s="3"/>
      <c r="E76" s="3"/>
      <c r="F76" s="3"/>
    </row>
    <row r="77" spans="1:6" x14ac:dyDescent="0.3">
      <c r="A77" s="2" t="s">
        <v>148</v>
      </c>
      <c r="B77" s="3" t="s">
        <v>149</v>
      </c>
      <c r="C77" s="4" t="s">
        <v>9</v>
      </c>
      <c r="D77" s="3"/>
      <c r="E77" s="3"/>
      <c r="F77" s="3"/>
    </row>
    <row r="78" spans="1:6" x14ac:dyDescent="0.3">
      <c r="A78" s="2" t="s">
        <v>150</v>
      </c>
      <c r="B78" s="3" t="s">
        <v>151</v>
      </c>
      <c r="C78" s="4" t="s">
        <v>9</v>
      </c>
      <c r="D78" s="3"/>
      <c r="E78" s="3"/>
      <c r="F78" s="3"/>
    </row>
    <row r="79" spans="1:6" x14ac:dyDescent="0.3">
      <c r="A79" s="2" t="s">
        <v>152</v>
      </c>
      <c r="B79" s="3" t="s">
        <v>153</v>
      </c>
      <c r="C79" s="4" t="s">
        <v>9</v>
      </c>
      <c r="D79" s="3"/>
      <c r="E79" s="3"/>
      <c r="F79" s="3"/>
    </row>
    <row r="80" spans="1:6" x14ac:dyDescent="0.3">
      <c r="A80" s="2" t="s">
        <v>154</v>
      </c>
      <c r="B80" s="3" t="s">
        <v>155</v>
      </c>
      <c r="C80" s="5" t="s">
        <v>26</v>
      </c>
      <c r="D80" s="3"/>
      <c r="E80" s="3"/>
      <c r="F80" s="3"/>
    </row>
    <row r="81" spans="1:6" ht="25.5" customHeight="1" x14ac:dyDescent="0.3">
      <c r="A81" s="24" t="s">
        <v>156</v>
      </c>
      <c r="B81" s="24"/>
      <c r="C81" s="24"/>
      <c r="D81" s="24"/>
      <c r="E81" s="24"/>
      <c r="F81" s="24"/>
    </row>
    <row r="82" spans="1:6" x14ac:dyDescent="0.3">
      <c r="A82" s="2" t="s">
        <v>157</v>
      </c>
      <c r="B82" s="3" t="s">
        <v>158</v>
      </c>
      <c r="C82" s="4" t="s">
        <v>9</v>
      </c>
      <c r="D82" s="3"/>
      <c r="E82" s="3"/>
      <c r="F82" s="3"/>
    </row>
    <row r="83" spans="1:6" x14ac:dyDescent="0.3">
      <c r="A83" s="2" t="s">
        <v>159</v>
      </c>
      <c r="B83" s="3" t="s">
        <v>160</v>
      </c>
      <c r="C83" s="4" t="s">
        <v>9</v>
      </c>
      <c r="D83" s="3"/>
      <c r="E83" s="3"/>
      <c r="F83" s="3"/>
    </row>
    <row r="84" spans="1:6" x14ac:dyDescent="0.3">
      <c r="A84" s="2" t="s">
        <v>161</v>
      </c>
      <c r="B84" s="3" t="s">
        <v>162</v>
      </c>
      <c r="C84" s="4" t="s">
        <v>9</v>
      </c>
      <c r="D84" s="3"/>
      <c r="E84" s="3"/>
      <c r="F84" s="3"/>
    </row>
    <row r="85" spans="1:6" x14ac:dyDescent="0.3">
      <c r="A85" s="2" t="s">
        <v>163</v>
      </c>
      <c r="B85" s="3" t="s">
        <v>164</v>
      </c>
      <c r="C85" s="4" t="s">
        <v>9</v>
      </c>
      <c r="D85" s="3"/>
      <c r="E85" s="3"/>
      <c r="F85" s="3"/>
    </row>
    <row r="86" spans="1:6" x14ac:dyDescent="0.3">
      <c r="A86" s="2" t="s">
        <v>165</v>
      </c>
      <c r="B86" s="3" t="s">
        <v>166</v>
      </c>
      <c r="C86" s="4" t="s">
        <v>9</v>
      </c>
      <c r="D86" s="3"/>
      <c r="E86" s="3"/>
      <c r="F86" s="3"/>
    </row>
    <row r="87" spans="1:6" x14ac:dyDescent="0.3">
      <c r="A87" s="2" t="s">
        <v>167</v>
      </c>
      <c r="B87" s="3" t="s">
        <v>168</v>
      </c>
      <c r="C87" s="4" t="s">
        <v>9</v>
      </c>
      <c r="D87" s="3"/>
      <c r="E87" s="3"/>
      <c r="F87" s="3"/>
    </row>
    <row r="88" spans="1:6" x14ac:dyDescent="0.3">
      <c r="A88" s="2" t="s">
        <v>169</v>
      </c>
      <c r="B88" s="3" t="s">
        <v>170</v>
      </c>
      <c r="C88" s="5" t="s">
        <v>26</v>
      </c>
      <c r="D88" s="3"/>
      <c r="E88" s="3"/>
      <c r="F88" s="3"/>
    </row>
    <row r="89" spans="1:6" x14ac:dyDescent="0.3">
      <c r="A89" s="2" t="s">
        <v>171</v>
      </c>
      <c r="B89" s="3" t="s">
        <v>172</v>
      </c>
      <c r="C89" s="5" t="s">
        <v>26</v>
      </c>
      <c r="D89" s="3"/>
      <c r="E89" s="3"/>
      <c r="F89" s="3"/>
    </row>
    <row r="90" spans="1:6" ht="25.5" customHeight="1" x14ac:dyDescent="0.3">
      <c r="A90" s="24" t="s">
        <v>173</v>
      </c>
      <c r="B90" s="24"/>
      <c r="C90" s="24"/>
      <c r="D90" s="24"/>
      <c r="E90" s="24"/>
      <c r="F90" s="24"/>
    </row>
    <row r="91" spans="1:6" x14ac:dyDescent="0.3">
      <c r="A91" s="2" t="s">
        <v>174</v>
      </c>
      <c r="B91" s="3" t="s">
        <v>175</v>
      </c>
      <c r="C91" s="4" t="s">
        <v>9</v>
      </c>
      <c r="D91" s="3"/>
      <c r="E91" s="3"/>
      <c r="F91" s="3"/>
    </row>
    <row r="92" spans="1:6" x14ac:dyDescent="0.3">
      <c r="A92" s="2" t="s">
        <v>176</v>
      </c>
      <c r="B92" s="3" t="s">
        <v>177</v>
      </c>
      <c r="C92" s="5" t="s">
        <v>26</v>
      </c>
      <c r="D92" s="3"/>
      <c r="E92" s="3"/>
      <c r="F92" s="3"/>
    </row>
    <row r="93" spans="1:6" ht="26.4" x14ac:dyDescent="0.3">
      <c r="A93" s="2" t="s">
        <v>178</v>
      </c>
      <c r="B93" s="3" t="s">
        <v>179</v>
      </c>
      <c r="C93" s="5" t="s">
        <v>26</v>
      </c>
      <c r="D93" s="3"/>
      <c r="E93" s="3"/>
      <c r="F93" s="3"/>
    </row>
    <row r="94" spans="1:6" ht="26.4" x14ac:dyDescent="0.3">
      <c r="A94" s="2" t="s">
        <v>180</v>
      </c>
      <c r="B94" s="3" t="s">
        <v>181</v>
      </c>
      <c r="C94" s="4" t="s">
        <v>9</v>
      </c>
      <c r="D94" s="3"/>
      <c r="E94" s="3"/>
      <c r="F94" s="3"/>
    </row>
    <row r="95" spans="1:6" ht="25.5" customHeight="1" x14ac:dyDescent="0.3">
      <c r="A95" s="24" t="s">
        <v>182</v>
      </c>
      <c r="B95" s="24"/>
      <c r="C95" s="24"/>
      <c r="D95" s="24"/>
      <c r="E95" s="24"/>
      <c r="F95" s="24"/>
    </row>
    <row r="96" spans="1:6" x14ac:dyDescent="0.3">
      <c r="A96" s="2" t="s">
        <v>183</v>
      </c>
      <c r="B96" s="3" t="s">
        <v>184</v>
      </c>
      <c r="C96" s="4" t="s">
        <v>9</v>
      </c>
      <c r="D96" s="3"/>
      <c r="E96" s="3"/>
      <c r="F96" s="3"/>
    </row>
    <row r="97" spans="1:6" x14ac:dyDescent="0.3">
      <c r="A97" s="2" t="s">
        <v>185</v>
      </c>
      <c r="B97" s="3" t="s">
        <v>186</v>
      </c>
      <c r="C97" s="4" t="s">
        <v>9</v>
      </c>
      <c r="D97" s="3"/>
      <c r="E97" s="3"/>
      <c r="F97" s="3"/>
    </row>
    <row r="98" spans="1:6" x14ac:dyDescent="0.3">
      <c r="A98" s="2" t="s">
        <v>187</v>
      </c>
      <c r="B98" s="3" t="s">
        <v>188</v>
      </c>
      <c r="C98" s="5" t="s">
        <v>26</v>
      </c>
      <c r="D98" s="3"/>
      <c r="E98" s="3"/>
      <c r="F98" s="3"/>
    </row>
    <row r="99" spans="1:6" x14ac:dyDescent="0.3">
      <c r="A99" s="2" t="s">
        <v>189</v>
      </c>
      <c r="B99" s="3" t="s">
        <v>190</v>
      </c>
      <c r="C99" s="5" t="s">
        <v>26</v>
      </c>
      <c r="D99" s="3"/>
      <c r="E99" s="3"/>
      <c r="F99" s="3"/>
    </row>
    <row r="100" spans="1:6" x14ac:dyDescent="0.3">
      <c r="A100" s="2" t="s">
        <v>191</v>
      </c>
      <c r="B100" s="22" t="s">
        <v>192</v>
      </c>
      <c r="C100" s="4" t="s">
        <v>9</v>
      </c>
      <c r="D100" s="3"/>
      <c r="E100" s="3"/>
      <c r="F100" s="3"/>
    </row>
    <row r="101" spans="1:6" ht="25.5" customHeight="1" x14ac:dyDescent="0.3">
      <c r="A101" s="24" t="s">
        <v>193</v>
      </c>
      <c r="B101" s="24"/>
      <c r="C101" s="24"/>
      <c r="D101" s="24"/>
      <c r="E101" s="24"/>
      <c r="F101" s="24"/>
    </row>
    <row r="102" spans="1:6" x14ac:dyDescent="0.3">
      <c r="A102" s="2" t="s">
        <v>194</v>
      </c>
      <c r="B102" s="3" t="s">
        <v>195</v>
      </c>
      <c r="C102" s="4" t="s">
        <v>9</v>
      </c>
      <c r="D102" s="3"/>
      <c r="E102" s="3"/>
      <c r="F102" s="3"/>
    </row>
    <row r="103" spans="1:6" ht="26.4" x14ac:dyDescent="0.3">
      <c r="A103" s="2" t="s">
        <v>196</v>
      </c>
      <c r="B103" s="3" t="s">
        <v>197</v>
      </c>
      <c r="C103" s="4" t="s">
        <v>9</v>
      </c>
      <c r="D103" s="3"/>
      <c r="E103" s="3"/>
      <c r="F103" s="3"/>
    </row>
    <row r="104" spans="1:6" x14ac:dyDescent="0.3">
      <c r="A104" s="2" t="s">
        <v>198</v>
      </c>
      <c r="B104" s="3" t="s">
        <v>199</v>
      </c>
      <c r="C104" s="5" t="s">
        <v>26</v>
      </c>
      <c r="D104" s="3"/>
      <c r="E104" s="3"/>
      <c r="F104" s="3"/>
    </row>
    <row r="105" spans="1:6" x14ac:dyDescent="0.3">
      <c r="A105" s="2" t="s">
        <v>200</v>
      </c>
      <c r="B105" s="3" t="s">
        <v>201</v>
      </c>
      <c r="C105" s="5" t="s">
        <v>26</v>
      </c>
      <c r="D105" s="3"/>
      <c r="E105" s="3"/>
      <c r="F105" s="3"/>
    </row>
    <row r="106" spans="1:6" ht="26.4" x14ac:dyDescent="0.3">
      <c r="A106" s="2" t="s">
        <v>202</v>
      </c>
      <c r="B106" s="3" t="s">
        <v>203</v>
      </c>
      <c r="C106" s="4" t="s">
        <v>9</v>
      </c>
      <c r="D106" s="3"/>
      <c r="E106" s="3"/>
      <c r="F106" s="3"/>
    </row>
    <row r="107" spans="1:6" x14ac:dyDescent="0.3">
      <c r="A107" s="2" t="s">
        <v>204</v>
      </c>
      <c r="B107" s="3" t="s">
        <v>205</v>
      </c>
      <c r="C107" s="5" t="s">
        <v>26</v>
      </c>
      <c r="D107" s="3"/>
      <c r="E107" s="3"/>
      <c r="F107" s="3"/>
    </row>
    <row r="108" spans="1:6" x14ac:dyDescent="0.3">
      <c r="A108" s="2" t="s">
        <v>206</v>
      </c>
      <c r="B108" s="3" t="s">
        <v>207</v>
      </c>
      <c r="C108" s="6" t="s">
        <v>31</v>
      </c>
      <c r="D108" s="3"/>
      <c r="E108" s="3"/>
      <c r="F108" s="3"/>
    </row>
  </sheetData>
  <mergeCells count="15">
    <mergeCell ref="A73:F73"/>
    <mergeCell ref="A81:F81"/>
    <mergeCell ref="A90:F90"/>
    <mergeCell ref="A95:F95"/>
    <mergeCell ref="A101:F101"/>
    <mergeCell ref="A41:F41"/>
    <mergeCell ref="A45:F45"/>
    <mergeCell ref="A51:F51"/>
    <mergeCell ref="A57:F57"/>
    <mergeCell ref="A63:F63"/>
    <mergeCell ref="A2:F2"/>
    <mergeCell ref="A14:F14"/>
    <mergeCell ref="A21:F21"/>
    <mergeCell ref="A27:F27"/>
    <mergeCell ref="A35:F35"/>
  </mergeCells>
  <dataValidations count="1">
    <dataValidation type="list" allowBlank="1" errorTitle="Invalid Response" error="Please select Comply, Partial, or Non-Comply" promptTitle="Supplier Response" prompt="Select your compliance level" sqref="D2:D108" xr:uid="{00000000-0002-0000-0000-000000000000}">
      <formula1>"Comply,Partial,Non-Comply"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zoomScaleNormal="100" workbookViewId="0">
      <selection sqref="A1:E1"/>
    </sheetView>
  </sheetViews>
  <sheetFormatPr defaultColWidth="8.6640625" defaultRowHeight="14.4" x14ac:dyDescent="0.3"/>
  <cols>
    <col min="1" max="1" width="16" customWidth="1"/>
    <col min="2" max="5" width="12" customWidth="1"/>
  </cols>
  <sheetData>
    <row r="1" spans="1:5" ht="15.6" x14ac:dyDescent="0.3">
      <c r="A1" s="25" t="s">
        <v>208</v>
      </c>
      <c r="B1" s="25"/>
      <c r="C1" s="25"/>
      <c r="D1" s="25"/>
      <c r="E1" s="25"/>
    </row>
    <row r="3" spans="1:5" x14ac:dyDescent="0.3">
      <c r="A3" s="7" t="s">
        <v>209</v>
      </c>
      <c r="B3" s="7" t="s">
        <v>210</v>
      </c>
      <c r="C3" s="7" t="s">
        <v>211</v>
      </c>
      <c r="D3" s="7" t="s">
        <v>212</v>
      </c>
      <c r="E3" s="7" t="s">
        <v>213</v>
      </c>
    </row>
    <row r="4" spans="1:5" x14ac:dyDescent="0.3">
      <c r="A4" s="8" t="s">
        <v>9</v>
      </c>
      <c r="B4" s="9">
        <f>COUNTIF('MOSCOW Requirements'!C:C,"Must")</f>
        <v>68</v>
      </c>
      <c r="C4" s="9">
        <f>COUNTIFS('MOSCOW Requirements'!C:C,"Must",'MOSCOW Requirements'!D:D,"Comply")</f>
        <v>0</v>
      </c>
      <c r="D4" s="9">
        <f>COUNTIFS('MOSCOW Requirements'!C:C,"Must",'MOSCOW Requirements'!D:D,"Partial")</f>
        <v>0</v>
      </c>
      <c r="E4" s="9">
        <f>COUNTIFS('MOSCOW Requirements'!C:C,"Must",'MOSCOW Requirements'!D:D,"Non-Comply")</f>
        <v>0</v>
      </c>
    </row>
    <row r="5" spans="1:5" x14ac:dyDescent="0.3">
      <c r="A5" s="10" t="s">
        <v>26</v>
      </c>
      <c r="B5" s="9">
        <f>COUNTIF('MOSCOW Requirements'!C:C,"Should")</f>
        <v>20</v>
      </c>
      <c r="C5" s="9">
        <f>COUNTIFS('MOSCOW Requirements'!C:C,"Should",'MOSCOW Requirements'!D:D,"Comply")</f>
        <v>0</v>
      </c>
      <c r="D5" s="9">
        <f>COUNTIFS('MOSCOW Requirements'!C:C,"Should",'MOSCOW Requirements'!D:D,"Partial")</f>
        <v>0</v>
      </c>
      <c r="E5" s="9">
        <f>COUNTIFS('MOSCOW Requirements'!C:C,"Should",'MOSCOW Requirements'!D:D,"Non-Comply")</f>
        <v>0</v>
      </c>
    </row>
    <row r="6" spans="1:5" x14ac:dyDescent="0.3">
      <c r="A6" s="11" t="s">
        <v>31</v>
      </c>
      <c r="B6" s="9">
        <f>COUNTIF('MOSCOW Requirements'!C:C,"Could")</f>
        <v>4</v>
      </c>
      <c r="C6" s="9">
        <f>COUNTIFS('MOSCOW Requirements'!C:C,"Could",'MOSCOW Requirements'!D:D,"Comply")</f>
        <v>0</v>
      </c>
      <c r="D6" s="9">
        <f>COUNTIFS('MOSCOW Requirements'!C:C,"Could",'MOSCOW Requirements'!D:D,"Partial")</f>
        <v>0</v>
      </c>
      <c r="E6" s="9">
        <f>COUNTIFS('MOSCOW Requirements'!C:C,"Could",'MOSCOW Requirements'!D:D,"Non-Comply")</f>
        <v>0</v>
      </c>
    </row>
    <row r="7" spans="1:5" x14ac:dyDescent="0.3">
      <c r="A7" s="12" t="s">
        <v>214</v>
      </c>
      <c r="B7" s="9">
        <f>COUNTIF('MOSCOW Requirements'!C:C,"Won't")</f>
        <v>0</v>
      </c>
      <c r="C7" s="9">
        <f>COUNTIFS('MOSCOW Requirements'!C:C,"Won't",'MOSCOW Requirements'!D:D,"Comply")</f>
        <v>0</v>
      </c>
      <c r="D7" s="9">
        <f>COUNTIFS('MOSCOW Requirements'!C:C,"Won't",'MOSCOW Requirements'!D:D,"Partial")</f>
        <v>0</v>
      </c>
      <c r="E7" s="9">
        <f>COUNTIFS('MOSCOW Requirements'!C:C,"Won't",'MOSCOW Requirements'!D:D,"Non-Comply")</f>
        <v>0</v>
      </c>
    </row>
    <row r="8" spans="1:5" x14ac:dyDescent="0.3">
      <c r="A8" s="13" t="s">
        <v>210</v>
      </c>
      <c r="B8" s="14">
        <f>SUM(B4:B7)</f>
        <v>92</v>
      </c>
      <c r="C8" s="14">
        <f>SUM(C4:C7)</f>
        <v>0</v>
      </c>
      <c r="D8" s="14">
        <f>SUM(D4:D7)</f>
        <v>0</v>
      </c>
      <c r="E8" s="14">
        <f>SUM(E4:E7)</f>
        <v>0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zoomScaleNormal="100" workbookViewId="0">
      <selection activeCell="B16" sqref="B16"/>
    </sheetView>
  </sheetViews>
  <sheetFormatPr defaultColWidth="8.6640625" defaultRowHeight="14.4" x14ac:dyDescent="0.3"/>
  <cols>
    <col min="1" max="1" width="18" customWidth="1"/>
    <col min="2" max="2" width="60" customWidth="1"/>
  </cols>
  <sheetData>
    <row r="1" spans="1:2" ht="15.6" x14ac:dyDescent="0.3">
      <c r="A1" s="25" t="s">
        <v>215</v>
      </c>
      <c r="B1" s="25"/>
    </row>
    <row r="3" spans="1:2" ht="26.4" x14ac:dyDescent="0.3">
      <c r="A3" s="15" t="s">
        <v>9</v>
      </c>
      <c r="B3" s="16" t="s">
        <v>216</v>
      </c>
    </row>
    <row r="4" spans="1:2" ht="26.4" x14ac:dyDescent="0.3">
      <c r="A4" s="17" t="s">
        <v>26</v>
      </c>
      <c r="B4" s="16" t="s">
        <v>217</v>
      </c>
    </row>
    <row r="5" spans="1:2" ht="26.4" x14ac:dyDescent="0.3">
      <c r="A5" s="18" t="s">
        <v>31</v>
      </c>
      <c r="B5" s="16" t="s">
        <v>218</v>
      </c>
    </row>
    <row r="6" spans="1:2" x14ac:dyDescent="0.3">
      <c r="A6" s="19" t="s">
        <v>214</v>
      </c>
      <c r="B6" s="16" t="s">
        <v>219</v>
      </c>
    </row>
    <row r="8" spans="1:2" ht="15.6" x14ac:dyDescent="0.3">
      <c r="A8" s="25" t="s">
        <v>220</v>
      </c>
      <c r="B8" s="25"/>
    </row>
    <row r="10" spans="1:2" ht="26.4" x14ac:dyDescent="0.3">
      <c r="A10" s="20" t="s">
        <v>221</v>
      </c>
      <c r="B10" s="16" t="s">
        <v>222</v>
      </c>
    </row>
    <row r="11" spans="1:2" ht="26.4" x14ac:dyDescent="0.3">
      <c r="A11" s="20" t="s">
        <v>223</v>
      </c>
      <c r="B11" s="16" t="s">
        <v>224</v>
      </c>
    </row>
    <row r="12" spans="1:2" ht="40.200000000000003" x14ac:dyDescent="0.3">
      <c r="A12" s="23" t="s">
        <v>225</v>
      </c>
      <c r="B12" s="16" t="s">
        <v>226</v>
      </c>
    </row>
  </sheetData>
  <mergeCells count="2">
    <mergeCell ref="A1:B1"/>
    <mergeCell ref="A8:B8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28C59268BC3941B5644900D2F75F84" ma:contentTypeVersion="25" ma:contentTypeDescription="Create a new document." ma:contentTypeScope="" ma:versionID="9cd24e7a9b674a2587fd6bf2e1183c89">
  <xsd:schema xmlns:xsd="http://www.w3.org/2001/XMLSchema" xmlns:xs="http://www.w3.org/2001/XMLSchema" xmlns:p="http://schemas.microsoft.com/office/2006/metadata/properties" xmlns:ns1="http://schemas.microsoft.com/sharepoint/v3" xmlns:ns2="cd8b49eb-406c-4c89-a6c8-6c7b21ba0cd6" xmlns:ns3="45141f6d-a8ba-4e90-887a-9b86f6033837" targetNamespace="http://schemas.microsoft.com/office/2006/metadata/properties" ma:root="true" ma:fieldsID="4567262a2f088266dca2c1401ef8a048" ns1:_="" ns2:_="" ns3:_="">
    <xsd:import namespace="http://schemas.microsoft.com/sharepoint/v3"/>
    <xsd:import namespace="cd8b49eb-406c-4c89-a6c8-6c7b21ba0cd6"/>
    <xsd:import namespace="45141f6d-a8ba-4e90-887a-9b86f603383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einddatum" minOccurs="0"/>
                <xsd:element ref="ns3:MediaServiceLocation" minOccurs="0"/>
                <xsd:element ref="ns3:documenttype" minOccurs="0"/>
                <xsd:element ref="ns3:MediaServiceAutoKeyPoints" minOccurs="0"/>
                <xsd:element ref="ns3:MediaServiceKeyPoints" minOccurs="0"/>
                <xsd:element ref="ns3:Gedeeldmet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  <xsd:element ref="ns3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8b49eb-406c-4c89-a6c8-6c7b21ba0cd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8" nillable="true" ma:displayName="Taxonomy Catch All Column" ma:hidden="true" ma:list="{59db37d2-39f6-427a-b228-a346149f2fee}" ma:internalName="TaxCatchAll" ma:showField="CatchAllData" ma:web="cd8b49eb-406c-4c89-a6c8-6c7b21ba0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41f6d-a8ba-4e90-887a-9b86f6033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einddatum" ma:index="17" nillable="true" ma:displayName="einddatum" ma:format="DateOnly" ma:internalName="einddatum">
      <xsd:simpleType>
        <xsd:restriction base="dms:DateTime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documenttype" ma:index="19" nillable="true" ma:displayName="document type" ma:description="type document" ma:format="Dropdown" ma:internalName="documenttype">
      <xsd:simpleType>
        <xsd:union memberTypes="dms:Text">
          <xsd:simpleType>
            <xsd:restriction base="dms:Choice">
              <xsd:enumeration value="PO"/>
              <xsd:enumeration value="Offerte"/>
              <xsd:enumeration value="Analyse"/>
              <xsd:enumeration value="Handleiding"/>
              <xsd:enumeration value="Andere"/>
            </xsd:restriction>
          </xsd:simpleType>
        </xsd:union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Gedeeldmet" ma:index="22" nillable="true" ma:displayName="Gedeeld met" ma:format="Dropdown" ma:internalName="Gedeeldmet">
      <xsd:simpleType>
        <xsd:restriction base="dms:Text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9e403bb6-39ca-450c-8b50-8ef7b8b906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9" nillable="true" ma:displayName="Sign-off status" ma:internalName="Sign_x002d_off_x0020_status">
      <xsd:simpleType>
        <xsd:restriction base="dms:Text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32" nillable="true" ma:displayName="Status" ma:format="Dropdown" ma:internalName="Status">
      <xsd:simpleType>
        <xsd:restriction base="dms:Choice">
          <xsd:enumeration value="Ideation"/>
          <xsd:enumeration value="On Hold"/>
          <xsd:enumeration value="Decom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einddatum xmlns="45141f6d-a8ba-4e90-887a-9b86f6033837" xsi:nil="true"/>
    <TaxCatchAll xmlns="cd8b49eb-406c-4c89-a6c8-6c7b21ba0cd6" xsi:nil="true"/>
    <lcf76f155ced4ddcb4097134ff3c332f xmlns="45141f6d-a8ba-4e90-887a-9b86f6033837">
      <Terms xmlns="http://schemas.microsoft.com/office/infopath/2007/PartnerControls"/>
    </lcf76f155ced4ddcb4097134ff3c332f>
    <_ip_UnifiedCompliancePolicyProperties xmlns="http://schemas.microsoft.com/sharepoint/v3" xsi:nil="true"/>
    <_Flow_SignoffStatus xmlns="45141f6d-a8ba-4e90-887a-9b86f6033837" xsi:nil="true"/>
    <Gedeeldmet xmlns="45141f6d-a8ba-4e90-887a-9b86f6033837" xsi:nil="true"/>
    <documenttype xmlns="45141f6d-a8ba-4e90-887a-9b86f6033837" xsi:nil="true"/>
    <Status xmlns="45141f6d-a8ba-4e90-887a-9b86f6033837" xsi:nil="true"/>
  </documentManagement>
</p:properties>
</file>

<file path=customXml/itemProps1.xml><?xml version="1.0" encoding="utf-8"?>
<ds:datastoreItem xmlns:ds="http://schemas.openxmlformats.org/officeDocument/2006/customXml" ds:itemID="{F81C6813-64E5-4874-9FE0-BDB40AEF02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1CEC75-DD9C-4C26-9DB4-EE08FF78B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d8b49eb-406c-4c89-a6c8-6c7b21ba0cd6"/>
    <ds:schemaRef ds:uri="45141f6d-a8ba-4e90-887a-9b86f60338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31A0EE-F5EA-41BB-AB1D-E97DD1A7ADD9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cd8b49eb-406c-4c89-a6c8-6c7b21ba0cd6"/>
    <ds:schemaRef ds:uri="45141f6d-a8ba-4e90-887a-9b86f6033837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MOSCOW Requirements</vt:lpstr>
      <vt:lpstr>Summary</vt:lpstr>
      <vt:lpstr>Legend &amp; 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Peter Feyen</cp:lastModifiedBy>
  <cp:revision>0</cp:revision>
  <dcterms:created xsi:type="dcterms:W3CDTF">2026-02-10T12:54:50Z</dcterms:created>
  <dcterms:modified xsi:type="dcterms:W3CDTF">2026-03-06T10:05:02Z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0x0101003B28C59268BC3941B5644900D2F75F84</vt:lpwstr>
  </property>
  <property fmtid="{D5CDD505-2E9C-101B-9397-08002B2CF9AE}" pid="3" name="MediaServiceImageTags">
    <vt:lpwstr/>
  </property>
</Properties>
</file>